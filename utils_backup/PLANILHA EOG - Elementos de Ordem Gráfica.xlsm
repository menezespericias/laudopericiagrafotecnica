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ecfb874e9d9a73d5/Documentos/GitHub/laudopericiagrafotecnica/utils_backup/"/>
    </mc:Choice>
  </mc:AlternateContent>
  <xr:revisionPtr revIDLastSave="114" documentId="8_{EBFF8729-F88F-4183-9DB1-E95D4AE1B76D}" xr6:coauthVersionLast="47" xr6:coauthVersionMax="47" xr10:uidLastSave="{25B0EBC2-1486-4CF0-8DD7-D5E2F1D6C0CC}"/>
  <bookViews>
    <workbookView xWindow="-270" yWindow="-270" windowWidth="29340" windowHeight="16020" xr2:uid="{00000000-000D-0000-FFFF-FFFF00000000}"/>
  </bookViews>
  <sheets>
    <sheet name="EOG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E40" i="1"/>
  <c r="F40" i="1"/>
  <c r="C40" i="1"/>
  <c r="G40" i="1" l="1"/>
  <c r="E41" i="1" l="1"/>
  <c r="D41" i="1"/>
  <c r="F41" i="1"/>
  <c r="C41" i="1"/>
  <c r="A43" i="1" s="1"/>
</calcChain>
</file>

<file path=xl/sharedStrings.xml><?xml version="1.0" encoding="utf-8"?>
<sst xmlns="http://schemas.openxmlformats.org/spreadsheetml/2006/main" count="97" uniqueCount="80">
  <si>
    <t>QUADRO EOG - ELEMENTOS DE ORDEM GERAL</t>
  </si>
  <si>
    <t>CRITÉRIOS ANALISADOS</t>
  </si>
  <si>
    <t>CONVERGENTE</t>
  </si>
  <si>
    <t>DIVERGENTE</t>
  </si>
  <si>
    <t>SEM DEFINIR</t>
  </si>
  <si>
    <t>SEM ANÁLISE</t>
  </si>
  <si>
    <t>OBSERVAÇÕES</t>
  </si>
  <si>
    <t>SUBJETIVOS</t>
  </si>
  <si>
    <t>Ritmo</t>
  </si>
  <si>
    <t>As peças possuem ritmos diferentes</t>
  </si>
  <si>
    <t>Dinamismo</t>
  </si>
  <si>
    <t>Dinâmicas diferentes entre lançamentos confrontados</t>
  </si>
  <si>
    <t>Velocidade</t>
  </si>
  <si>
    <t>Diferentes velocidades empregadas nos escritos</t>
  </si>
  <si>
    <t>Habilidade</t>
  </si>
  <si>
    <t>A Contestada demonstra maior habilidade.</t>
  </si>
  <si>
    <t>Espontaneidade</t>
  </si>
  <si>
    <t>OBJETIVOS</t>
  </si>
  <si>
    <t>Ataques</t>
  </si>
  <si>
    <t>Vários pontos específicos com remates divergentes.</t>
  </si>
  <si>
    <t>Remates</t>
  </si>
  <si>
    <t>Vários pontos específicos com ataques divergentes.</t>
  </si>
  <si>
    <t>Pressão e Progressão</t>
  </si>
  <si>
    <t>Série de pontos de pressão e progressão diferentes.</t>
  </si>
  <si>
    <t>Hábitos Gráficos</t>
  </si>
  <si>
    <t>Peça Contestada não possue laçadas no "A".</t>
  </si>
  <si>
    <t>Momentos Gráficos</t>
  </si>
  <si>
    <t>Levantadas da superfície divergentes entre peças.</t>
  </si>
  <si>
    <t>Comportamento de Base</t>
  </si>
  <si>
    <t>Diferenças de angulações nas peças.</t>
  </si>
  <si>
    <t>Comportamento de Pauta</t>
  </si>
  <si>
    <t>Todas as peças se comportaram de forma similar</t>
  </si>
  <si>
    <t>Inclinação Axial</t>
  </si>
  <si>
    <t>As inclinações dos gramas estão em convergência.</t>
  </si>
  <si>
    <t>Espaçamentos Gráficos</t>
  </si>
  <si>
    <t>Distâncias intergramas diferentes entre as peças.</t>
  </si>
  <si>
    <t>Tendência de Punho</t>
  </si>
  <si>
    <t>Tendências de punho mistas similares.</t>
  </si>
  <si>
    <t>Trajetórias</t>
  </si>
  <si>
    <t>Trajetórias de construção divergentes entre peças.</t>
  </si>
  <si>
    <t>Calibres</t>
  </si>
  <si>
    <t>Semelhança nas medidas verticais das não passantes.</t>
  </si>
  <si>
    <t>Gladiolagem</t>
  </si>
  <si>
    <t>Diferenças nos segmentos longitudinais pós 1° letra.</t>
  </si>
  <si>
    <t>Gramas</t>
  </si>
  <si>
    <t>N° de Unidades gráficas em acentuada divergência.</t>
  </si>
  <si>
    <t>Proporcionalidade</t>
  </si>
  <si>
    <t>Todas se comportaram de maneira similar.</t>
  </si>
  <si>
    <t>Sobreposição de peças</t>
  </si>
  <si>
    <t>Confusão de linhas quando as peças são sobrepostas</t>
  </si>
  <si>
    <t>Microscopia</t>
  </si>
  <si>
    <t>Observações distoantes da análise microscópica.</t>
  </si>
  <si>
    <t>Separação</t>
  </si>
  <si>
    <t>Separação de letras e gramas com similaridades.</t>
  </si>
  <si>
    <t>Cronologia</t>
  </si>
  <si>
    <t>Analisadas peças datas diversas com similaridades.</t>
  </si>
  <si>
    <t>Vídeos</t>
  </si>
  <si>
    <t>Vídeo de apoio na coleta reforçam as diferenças.</t>
  </si>
  <si>
    <t>Imagem do Grafismo</t>
  </si>
  <si>
    <t>Semelhanças entre a Peça Contestada e a Padrão.</t>
  </si>
  <si>
    <t>Escavalamento</t>
  </si>
  <si>
    <t>Este critério não foi analisado.</t>
  </si>
  <si>
    <t>Cultura Gráfica</t>
  </si>
  <si>
    <t>Maior maturidade da Contestada sobre a Padrão.</t>
  </si>
  <si>
    <t>Maneirismos Gráficos</t>
  </si>
  <si>
    <t>Maneirismos personalizados encontrados similares.</t>
  </si>
  <si>
    <t>Afinamento</t>
  </si>
  <si>
    <t>Esse critério não foi analisado.</t>
  </si>
  <si>
    <t>Grafogeometria</t>
  </si>
  <si>
    <t>Construções geométricas possuem valores diferentes.</t>
  </si>
  <si>
    <t>Traçados das letras</t>
  </si>
  <si>
    <t>Diferenças entre traços de letras comparados.</t>
  </si>
  <si>
    <t>Polimorfismo Gráfico</t>
  </si>
  <si>
    <t>Caligrafia</t>
  </si>
  <si>
    <t>Diversos</t>
  </si>
  <si>
    <t>Comparações em análise sem conclusão final.</t>
  </si>
  <si>
    <t>RESULTADO GERAL</t>
  </si>
  <si>
    <t>EM PERCENTUAIS 100,00%</t>
  </si>
  <si>
    <t>Encontradas mesmas letras com formas diferentes.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</si>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</sst>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scheme val="minor"/>
    </font>
    <font>
      <sz val="11"/>
      <color rgb="FF000000"/>
      <name val="Calibri"/>
      <family val="2"/>
    </font>
    <font>
      <sz val="10"/>
      <name val="Aptos"/>
      <family val="2"/>
    </font>
    <font>
      <sz val="10"/>
      <color rgb="FF000000"/>
      <name val="Aptos"/>
      <family val="2"/>
    </font>
    <font>
      <b/>
      <sz val="10"/>
      <name val="Aptos"/>
      <family val="2"/>
    </font>
    <font>
      <b/>
      <sz val="10"/>
      <color rgb="FFFF0000"/>
      <name val="Aptos"/>
      <family val="2"/>
    </font>
    <font>
      <u/>
      <sz val="10"/>
      <color rgb="FF00000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3" fillId="0" borderId="0" xfId="0" applyFont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4" fillId="0" borderId="2" xfId="0" applyFont="1" applyBorder="1"/>
    <xf numFmtId="0" fontId="4" fillId="0" borderId="3" xfId="0" applyFont="1" applyBorder="1"/>
    <xf numFmtId="0" fontId="4" fillId="3" borderId="12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2" fillId="0" borderId="7" xfId="0" applyFont="1" applyBorder="1"/>
    <xf numFmtId="0" fontId="2" fillId="8" borderId="0" xfId="0" applyFont="1" applyFill="1"/>
    <xf numFmtId="0" fontId="3" fillId="0" borderId="9" xfId="0" applyFont="1" applyBorder="1"/>
    <xf numFmtId="0" fontId="2" fillId="0" borderId="0" xfId="0" applyFont="1"/>
    <xf numFmtId="0" fontId="6" fillId="0" borderId="0" xfId="0" applyFont="1"/>
    <xf numFmtId="0" fontId="4" fillId="7" borderId="14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10" fontId="4" fillId="7" borderId="28" xfId="0" applyNumberFormat="1" applyFont="1" applyFill="1" applyBorder="1" applyAlignment="1">
      <alignment horizontal="center" vertical="center"/>
    </xf>
    <xf numFmtId="10" fontId="4" fillId="7" borderId="21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10" fontId="4" fillId="0" borderId="7" xfId="0" applyNumberFormat="1" applyFont="1" applyBorder="1" applyAlignment="1">
      <alignment horizontal="center" vertical="center"/>
    </xf>
    <xf numFmtId="9" fontId="2" fillId="0" borderId="0" xfId="0" applyNumberFormat="1" applyFont="1"/>
    <xf numFmtId="0" fontId="2" fillId="8" borderId="10" xfId="0" applyFont="1" applyFill="1" applyBorder="1" applyAlignment="1" applyProtection="1">
      <alignment horizontal="center"/>
      <protection locked="0"/>
    </xf>
    <xf numFmtId="0" fontId="5" fillId="8" borderId="11" xfId="0" applyFont="1" applyFill="1" applyBorder="1" applyAlignment="1" applyProtection="1">
      <alignment horizontal="center" vertical="center"/>
      <protection locked="0"/>
    </xf>
    <xf numFmtId="0" fontId="2" fillId="8" borderId="11" xfId="0" applyFont="1" applyFill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2" fillId="8" borderId="10" xfId="0" applyFont="1" applyFill="1" applyBorder="1" applyAlignment="1" applyProtection="1">
      <alignment horizontal="center" vertical="center"/>
      <protection locked="0"/>
    </xf>
    <xf numFmtId="0" fontId="2" fillId="8" borderId="11" xfId="0" applyFont="1" applyFill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4" fillId="5" borderId="1" xfId="0" applyFont="1" applyFill="1" applyBorder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0" fontId="4" fillId="0" borderId="7" xfId="0" applyFont="1" applyBorder="1" applyAlignment="1">
      <alignment horizontal="left" vertical="center" wrapText="1"/>
    </xf>
    <xf numFmtId="0" fontId="2" fillId="0" borderId="7" xfId="0" applyFont="1" applyBorder="1"/>
    <xf numFmtId="0" fontId="3" fillId="0" borderId="0" xfId="0" applyFont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6" borderId="26" xfId="0" applyFont="1" applyFill="1" applyBorder="1"/>
    <xf numFmtId="0" fontId="2" fillId="0" borderId="27" xfId="0" applyFont="1" applyBorder="1"/>
    <xf numFmtId="0" fontId="4" fillId="3" borderId="9" xfId="0" applyFont="1" applyFill="1" applyBorder="1" applyAlignment="1">
      <alignment horizontal="center" vertical="center"/>
    </xf>
    <xf numFmtId="0" fontId="2" fillId="0" borderId="4" xfId="0" applyFont="1" applyBorder="1"/>
    <xf numFmtId="0" fontId="2" fillId="6" borderId="9" xfId="0" applyFont="1" applyFill="1" applyBorder="1"/>
    <xf numFmtId="0" fontId="2" fillId="0" borderId="12" xfId="0" applyFont="1" applyBorder="1"/>
    <xf numFmtId="0" fontId="2" fillId="0" borderId="13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2" fillId="0" borderId="8" xfId="0" applyFont="1" applyBorder="1"/>
    <xf numFmtId="0" fontId="4" fillId="5" borderId="1" xfId="0" applyFont="1" applyFill="1" applyBorder="1" applyAlignment="1">
      <alignment horizontal="left" vertical="top"/>
    </xf>
  </cellXfs>
  <cellStyles count="1">
    <cellStyle name="Normal" xfId="0" builtinId="0"/>
  </cellStyles>
  <dxfs count="3">
    <dxf>
      <font>
        <color theme="1" tint="0.34998626667073579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0</xdr:row>
          <xdr:rowOff>123825</xdr:rowOff>
        </xdr:from>
        <xdr:to>
          <xdr:col>11</xdr:col>
          <xdr:colOff>819150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Zerar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</xdr:row>
          <xdr:rowOff>190500</xdr:rowOff>
        </xdr:from>
        <xdr:to>
          <xdr:col>11</xdr:col>
          <xdr:colOff>828675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Tabela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</xdr:row>
          <xdr:rowOff>47625</xdr:rowOff>
        </xdr:from>
        <xdr:to>
          <xdr:col>11</xdr:col>
          <xdr:colOff>828675</xdr:colOff>
          <xdr:row>6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Gerar Gráfico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6</xdr:row>
          <xdr:rowOff>104775</xdr:rowOff>
        </xdr:from>
        <xdr:to>
          <xdr:col>11</xdr:col>
          <xdr:colOff>828675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Gráfico(s)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1</xdr:row>
          <xdr:rowOff>190500</xdr:rowOff>
        </xdr:from>
        <xdr:to>
          <xdr:col>13</xdr:col>
          <xdr:colOff>609600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 JPEG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92D050"/>
  </sheetPr>
  <dimension ref="A1:L101"/>
  <sheetViews>
    <sheetView showGridLines="0" tabSelected="1" zoomScale="80" zoomScaleNormal="80" workbookViewId="0">
      <selection activeCell="C21" sqref="C21"/>
    </sheetView>
  </sheetViews>
  <sheetFormatPr defaultColWidth="12.7109375" defaultRowHeight="15" customHeight="1" x14ac:dyDescent="0.25"/>
  <cols>
    <col min="1" max="1" width="3" style="1" customWidth="1"/>
    <col min="2" max="2" width="24.140625" style="1" bestFit="1" customWidth="1"/>
    <col min="3" max="3" width="14.42578125" style="1" customWidth="1"/>
    <col min="4" max="4" width="15" style="1" customWidth="1"/>
    <col min="5" max="5" width="11.85546875" style="1" customWidth="1"/>
    <col min="6" max="6" width="12" style="1" customWidth="1"/>
    <col min="7" max="7" width="13.85546875" style="1" customWidth="1"/>
    <col min="8" max="9" width="7.7109375" style="1" customWidth="1"/>
    <col min="10" max="10" width="22.5703125" style="1" customWidth="1"/>
    <col min="11" max="16384" width="12.7109375" style="1"/>
  </cols>
  <sheetData>
    <row r="1" spans="1:12" ht="27.75" customHeight="1" thickBot="1" x14ac:dyDescent="0.3">
      <c r="A1" s="53" t="s">
        <v>0</v>
      </c>
      <c r="B1" s="54"/>
      <c r="C1" s="54"/>
      <c r="D1" s="54"/>
      <c r="E1" s="54"/>
      <c r="F1" s="55"/>
      <c r="G1" s="5"/>
      <c r="H1" s="5"/>
      <c r="I1" s="5"/>
      <c r="J1" s="6"/>
    </row>
    <row r="2" spans="1:12" ht="32.25" customHeight="1" thickBot="1" x14ac:dyDescent="0.3">
      <c r="A2" s="45" t="s">
        <v>1</v>
      </c>
      <c r="B2" s="46"/>
      <c r="C2" s="7" t="s">
        <v>2</v>
      </c>
      <c r="D2" s="8" t="s">
        <v>3</v>
      </c>
      <c r="E2" s="9" t="s">
        <v>4</v>
      </c>
      <c r="F2" s="10" t="s">
        <v>5</v>
      </c>
      <c r="G2" s="56" t="s">
        <v>6</v>
      </c>
      <c r="H2" s="38"/>
      <c r="I2" s="38"/>
      <c r="J2" s="57"/>
    </row>
    <row r="3" spans="1:12" ht="13.5" x14ac:dyDescent="0.25">
      <c r="A3" s="58" t="s">
        <v>7</v>
      </c>
      <c r="B3" s="35"/>
      <c r="C3" s="35"/>
      <c r="D3" s="35"/>
      <c r="E3" s="35"/>
      <c r="F3" s="35"/>
      <c r="G3" s="35"/>
      <c r="H3" s="35"/>
      <c r="I3" s="35"/>
      <c r="J3" s="36"/>
    </row>
    <row r="4" spans="1:12" ht="13.5" x14ac:dyDescent="0.25">
      <c r="A4" s="12">
        <v>1</v>
      </c>
      <c r="B4" s="12" t="s">
        <v>8</v>
      </c>
      <c r="C4" s="23" t="s">
        <v>79</v>
      </c>
      <c r="D4" s="24"/>
      <c r="E4" s="25"/>
      <c r="F4" s="25"/>
      <c r="G4" s="48" t="s">
        <v>9</v>
      </c>
      <c r="H4" s="39"/>
      <c r="I4" s="39"/>
      <c r="J4" s="49"/>
    </row>
    <row r="5" spans="1:12" ht="13.5" x14ac:dyDescent="0.25">
      <c r="A5" s="13">
        <v>2</v>
      </c>
      <c r="B5" s="14" t="s">
        <v>10</v>
      </c>
      <c r="C5" s="26" t="s">
        <v>79</v>
      </c>
      <c r="D5" s="27"/>
      <c r="E5" s="26"/>
      <c r="F5" s="26"/>
      <c r="G5" s="31" t="s">
        <v>11</v>
      </c>
      <c r="H5" s="32"/>
      <c r="I5" s="32"/>
      <c r="J5" s="33"/>
    </row>
    <row r="6" spans="1:12" ht="13.5" x14ac:dyDescent="0.25">
      <c r="A6" s="12">
        <v>3</v>
      </c>
      <c r="B6" s="12" t="s">
        <v>12</v>
      </c>
      <c r="C6" s="23" t="s">
        <v>79</v>
      </c>
      <c r="D6" s="24"/>
      <c r="E6" s="25"/>
      <c r="F6" s="25"/>
      <c r="G6" s="31" t="s">
        <v>13</v>
      </c>
      <c r="H6" s="32"/>
      <c r="I6" s="32"/>
      <c r="J6" s="33"/>
    </row>
    <row r="7" spans="1:12" ht="13.5" x14ac:dyDescent="0.25">
      <c r="A7" s="13">
        <v>4</v>
      </c>
      <c r="B7" s="14" t="s">
        <v>14</v>
      </c>
      <c r="C7" s="26" t="s">
        <v>79</v>
      </c>
      <c r="D7" s="27"/>
      <c r="E7" s="26"/>
      <c r="F7" s="26"/>
      <c r="G7" s="31" t="s">
        <v>15</v>
      </c>
      <c r="H7" s="32"/>
      <c r="I7" s="32"/>
      <c r="J7" s="33"/>
    </row>
    <row r="8" spans="1:12" ht="13.5" x14ac:dyDescent="0.25">
      <c r="A8" s="12">
        <v>5</v>
      </c>
      <c r="B8" s="12" t="s">
        <v>16</v>
      </c>
      <c r="C8" s="23" t="s">
        <v>79</v>
      </c>
      <c r="D8" s="24"/>
      <c r="E8" s="25"/>
      <c r="F8" s="25"/>
      <c r="G8" s="31" t="s">
        <v>15</v>
      </c>
      <c r="H8" s="32"/>
      <c r="I8" s="32"/>
      <c r="J8" s="33"/>
      <c r="L8" s="15"/>
    </row>
    <row r="9" spans="1:12" ht="13.5" x14ac:dyDescent="0.25">
      <c r="A9" s="34" t="s">
        <v>17</v>
      </c>
      <c r="B9" s="35"/>
      <c r="C9" s="35"/>
      <c r="D9" s="35"/>
      <c r="E9" s="35"/>
      <c r="F9" s="35"/>
      <c r="G9" s="35"/>
      <c r="H9" s="35"/>
      <c r="I9" s="35"/>
      <c r="J9" s="36"/>
    </row>
    <row r="10" spans="1:12" ht="13.5" x14ac:dyDescent="0.25">
      <c r="A10" s="12">
        <v>6</v>
      </c>
      <c r="B10" s="12" t="s">
        <v>18</v>
      </c>
      <c r="C10" s="28" t="s">
        <v>79</v>
      </c>
      <c r="D10" s="24"/>
      <c r="E10" s="29"/>
      <c r="F10" s="29"/>
      <c r="G10" s="31" t="s">
        <v>19</v>
      </c>
      <c r="H10" s="32"/>
      <c r="I10" s="32"/>
      <c r="J10" s="33"/>
    </row>
    <row r="11" spans="1:12" ht="13.5" x14ac:dyDescent="0.25">
      <c r="A11" s="13">
        <v>7</v>
      </c>
      <c r="B11" s="14" t="s">
        <v>20</v>
      </c>
      <c r="C11" s="30" t="s">
        <v>79</v>
      </c>
      <c r="D11" s="27"/>
      <c r="E11" s="30"/>
      <c r="F11" s="30"/>
      <c r="G11" s="31" t="s">
        <v>21</v>
      </c>
      <c r="H11" s="32"/>
      <c r="I11" s="32"/>
      <c r="J11" s="33"/>
    </row>
    <row r="12" spans="1:12" ht="13.5" x14ac:dyDescent="0.25">
      <c r="A12" s="12">
        <v>8</v>
      </c>
      <c r="B12" s="12" t="s">
        <v>22</v>
      </c>
      <c r="C12" s="28" t="s">
        <v>79</v>
      </c>
      <c r="D12" s="24"/>
      <c r="E12" s="29"/>
      <c r="F12" s="29"/>
      <c r="G12" s="31" t="s">
        <v>23</v>
      </c>
      <c r="H12" s="32"/>
      <c r="I12" s="32"/>
      <c r="J12" s="33"/>
    </row>
    <row r="13" spans="1:12" ht="13.5" x14ac:dyDescent="0.25">
      <c r="A13" s="13">
        <v>9</v>
      </c>
      <c r="B13" s="14" t="s">
        <v>24</v>
      </c>
      <c r="C13" s="30" t="s">
        <v>79</v>
      </c>
      <c r="D13" s="27"/>
      <c r="E13" s="30"/>
      <c r="F13" s="30"/>
      <c r="G13" s="31" t="s">
        <v>25</v>
      </c>
      <c r="H13" s="32"/>
      <c r="I13" s="32"/>
      <c r="J13" s="33"/>
    </row>
    <row r="14" spans="1:12" ht="13.5" x14ac:dyDescent="0.25">
      <c r="A14" s="12">
        <v>10</v>
      </c>
      <c r="B14" s="12" t="s">
        <v>26</v>
      </c>
      <c r="C14" s="28" t="s">
        <v>79</v>
      </c>
      <c r="D14" s="24"/>
      <c r="E14" s="29"/>
      <c r="F14" s="29"/>
      <c r="G14" s="31" t="s">
        <v>27</v>
      </c>
      <c r="H14" s="32"/>
      <c r="I14" s="32"/>
      <c r="J14" s="33"/>
    </row>
    <row r="15" spans="1:12" ht="13.5" x14ac:dyDescent="0.25">
      <c r="A15" s="13">
        <v>11</v>
      </c>
      <c r="B15" s="14" t="s">
        <v>28</v>
      </c>
      <c r="C15" s="30" t="s">
        <v>79</v>
      </c>
      <c r="D15" s="27"/>
      <c r="E15" s="30"/>
      <c r="F15" s="30"/>
      <c r="G15" s="2" t="s">
        <v>29</v>
      </c>
      <c r="H15" s="3"/>
      <c r="I15" s="3"/>
      <c r="J15" s="4"/>
    </row>
    <row r="16" spans="1:12" ht="13.5" x14ac:dyDescent="0.25">
      <c r="A16" s="12">
        <v>12</v>
      </c>
      <c r="B16" s="12" t="s">
        <v>30</v>
      </c>
      <c r="C16" s="28" t="s">
        <v>79</v>
      </c>
      <c r="D16" s="24"/>
      <c r="E16" s="29"/>
      <c r="F16" s="29"/>
      <c r="G16" s="31" t="s">
        <v>31</v>
      </c>
      <c r="H16" s="32"/>
      <c r="I16" s="32"/>
      <c r="J16" s="33"/>
    </row>
    <row r="17" spans="1:10" ht="13.5" x14ac:dyDescent="0.25">
      <c r="A17" s="13">
        <v>13</v>
      </c>
      <c r="B17" s="14" t="s">
        <v>32</v>
      </c>
      <c r="C17" s="30" t="s">
        <v>79</v>
      </c>
      <c r="D17" s="27"/>
      <c r="E17" s="30"/>
      <c r="F17" s="30"/>
      <c r="G17" s="31" t="s">
        <v>33</v>
      </c>
      <c r="H17" s="32"/>
      <c r="I17" s="32"/>
      <c r="J17" s="33"/>
    </row>
    <row r="18" spans="1:10" ht="13.5" x14ac:dyDescent="0.25">
      <c r="A18" s="12">
        <v>14</v>
      </c>
      <c r="B18" s="12" t="s">
        <v>34</v>
      </c>
      <c r="C18" s="28" t="s">
        <v>79</v>
      </c>
      <c r="D18" s="24"/>
      <c r="E18" s="29"/>
      <c r="F18" s="29"/>
      <c r="G18" s="31" t="s">
        <v>35</v>
      </c>
      <c r="H18" s="32"/>
      <c r="I18" s="32"/>
      <c r="J18" s="33"/>
    </row>
    <row r="19" spans="1:10" ht="13.5" x14ac:dyDescent="0.25">
      <c r="A19" s="13">
        <v>15</v>
      </c>
      <c r="B19" s="14" t="s">
        <v>36</v>
      </c>
      <c r="C19" s="30" t="s">
        <v>79</v>
      </c>
      <c r="D19" s="27"/>
      <c r="E19" s="30"/>
      <c r="F19" s="30"/>
      <c r="G19" s="31" t="s">
        <v>37</v>
      </c>
      <c r="H19" s="32"/>
      <c r="I19" s="32"/>
      <c r="J19" s="33"/>
    </row>
    <row r="20" spans="1:10" ht="13.5" x14ac:dyDescent="0.25">
      <c r="A20" s="12">
        <v>16</v>
      </c>
      <c r="B20" s="12" t="s">
        <v>38</v>
      </c>
      <c r="C20" s="28" t="s">
        <v>79</v>
      </c>
      <c r="D20" s="24"/>
      <c r="E20" s="29"/>
      <c r="F20" s="29"/>
      <c r="G20" s="50" t="s">
        <v>39</v>
      </c>
      <c r="H20" s="51"/>
      <c r="I20" s="51"/>
      <c r="J20" s="52"/>
    </row>
    <row r="21" spans="1:10" ht="15.75" customHeight="1" x14ac:dyDescent="0.25">
      <c r="A21" s="13">
        <v>17</v>
      </c>
      <c r="B21" s="14" t="s">
        <v>40</v>
      </c>
      <c r="C21" s="30"/>
      <c r="D21" s="27"/>
      <c r="E21" s="30"/>
      <c r="F21" s="30"/>
      <c r="G21" s="31" t="s">
        <v>41</v>
      </c>
      <c r="H21" s="32"/>
      <c r="I21" s="32"/>
      <c r="J21" s="33"/>
    </row>
    <row r="22" spans="1:10" ht="15.75" customHeight="1" x14ac:dyDescent="0.25">
      <c r="A22" s="12">
        <v>18</v>
      </c>
      <c r="B22" s="12" t="s">
        <v>42</v>
      </c>
      <c r="C22" s="28"/>
      <c r="D22" s="24"/>
      <c r="E22" s="29"/>
      <c r="F22" s="29"/>
      <c r="G22" s="31" t="s">
        <v>43</v>
      </c>
      <c r="H22" s="32"/>
      <c r="I22" s="32"/>
      <c r="J22" s="33"/>
    </row>
    <row r="23" spans="1:10" ht="15.75" customHeight="1" x14ac:dyDescent="0.25">
      <c r="A23" s="13">
        <v>19</v>
      </c>
      <c r="B23" s="14" t="s">
        <v>44</v>
      </c>
      <c r="C23" s="30"/>
      <c r="D23" s="27"/>
      <c r="E23" s="30"/>
      <c r="F23" s="30"/>
      <c r="G23" s="31" t="s">
        <v>45</v>
      </c>
      <c r="H23" s="32"/>
      <c r="I23" s="32"/>
      <c r="J23" s="33"/>
    </row>
    <row r="24" spans="1:10" ht="15.75" customHeight="1" x14ac:dyDescent="0.25">
      <c r="A24" s="12">
        <v>20</v>
      </c>
      <c r="B24" s="12" t="s">
        <v>46</v>
      </c>
      <c r="C24" s="28"/>
      <c r="D24" s="24"/>
      <c r="E24" s="29"/>
      <c r="F24" s="29"/>
      <c r="G24" s="31" t="s">
        <v>47</v>
      </c>
      <c r="H24" s="32"/>
      <c r="I24" s="32"/>
      <c r="J24" s="33"/>
    </row>
    <row r="25" spans="1:10" ht="15.75" customHeight="1" x14ac:dyDescent="0.25">
      <c r="A25" s="13">
        <v>21</v>
      </c>
      <c r="B25" s="14" t="s">
        <v>48</v>
      </c>
      <c r="C25" s="30"/>
      <c r="D25" s="27"/>
      <c r="E25" s="30"/>
      <c r="F25" s="30"/>
      <c r="G25" s="31" t="s">
        <v>49</v>
      </c>
      <c r="H25" s="32"/>
      <c r="I25" s="32"/>
      <c r="J25" s="33"/>
    </row>
    <row r="26" spans="1:10" ht="15.75" customHeight="1" x14ac:dyDescent="0.25">
      <c r="A26" s="12">
        <v>22</v>
      </c>
      <c r="B26" s="12" t="s">
        <v>50</v>
      </c>
      <c r="C26" s="28"/>
      <c r="D26" s="24"/>
      <c r="E26" s="29"/>
      <c r="F26" s="29"/>
      <c r="G26" s="31" t="s">
        <v>51</v>
      </c>
      <c r="H26" s="32"/>
      <c r="I26" s="32"/>
      <c r="J26" s="33"/>
    </row>
    <row r="27" spans="1:10" ht="15.75" customHeight="1" x14ac:dyDescent="0.25">
      <c r="A27" s="13">
        <v>23</v>
      </c>
      <c r="B27" s="14" t="s">
        <v>52</v>
      </c>
      <c r="C27" s="30"/>
      <c r="D27" s="27"/>
      <c r="E27" s="30"/>
      <c r="F27" s="30"/>
      <c r="G27" s="31" t="s">
        <v>53</v>
      </c>
      <c r="H27" s="32"/>
      <c r="I27" s="32"/>
      <c r="J27" s="33"/>
    </row>
    <row r="28" spans="1:10" ht="15.75" customHeight="1" x14ac:dyDescent="0.25">
      <c r="A28" s="12">
        <v>24</v>
      </c>
      <c r="B28" s="12" t="s">
        <v>54</v>
      </c>
      <c r="C28" s="28"/>
      <c r="D28" s="24"/>
      <c r="E28" s="29"/>
      <c r="F28" s="29"/>
      <c r="G28" s="31" t="s">
        <v>55</v>
      </c>
      <c r="H28" s="32"/>
      <c r="I28" s="32"/>
      <c r="J28" s="33"/>
    </row>
    <row r="29" spans="1:10" ht="15.75" customHeight="1" x14ac:dyDescent="0.25">
      <c r="A29" s="13">
        <v>25</v>
      </c>
      <c r="B29" s="14" t="s">
        <v>56</v>
      </c>
      <c r="C29" s="30"/>
      <c r="D29" s="27"/>
      <c r="E29" s="30"/>
      <c r="F29" s="30"/>
      <c r="G29" s="31" t="s">
        <v>57</v>
      </c>
      <c r="H29" s="32"/>
      <c r="I29" s="32"/>
      <c r="J29" s="33"/>
    </row>
    <row r="30" spans="1:10" ht="15.75" customHeight="1" x14ac:dyDescent="0.25">
      <c r="A30" s="12">
        <v>26</v>
      </c>
      <c r="B30" s="12" t="s">
        <v>58</v>
      </c>
      <c r="C30" s="28"/>
      <c r="D30" s="24"/>
      <c r="E30" s="29"/>
      <c r="F30" s="29"/>
      <c r="G30" s="48" t="s">
        <v>59</v>
      </c>
      <c r="H30" s="39"/>
      <c r="I30" s="39"/>
      <c r="J30" s="49"/>
    </row>
    <row r="31" spans="1:10" ht="15.75" customHeight="1" x14ac:dyDescent="0.25">
      <c r="A31" s="13">
        <v>27</v>
      </c>
      <c r="B31" s="14" t="s">
        <v>60</v>
      </c>
      <c r="C31" s="30"/>
      <c r="D31" s="27"/>
      <c r="E31" s="30"/>
      <c r="F31" s="30"/>
      <c r="G31" s="31" t="s">
        <v>61</v>
      </c>
      <c r="H31" s="32"/>
      <c r="I31" s="32"/>
      <c r="J31" s="33"/>
    </row>
    <row r="32" spans="1:10" ht="15.75" customHeight="1" x14ac:dyDescent="0.25">
      <c r="A32" s="12">
        <v>28</v>
      </c>
      <c r="B32" s="12" t="s">
        <v>62</v>
      </c>
      <c r="C32" s="28"/>
      <c r="D32" s="24"/>
      <c r="E32" s="29"/>
      <c r="F32" s="29"/>
      <c r="G32" s="31" t="s">
        <v>63</v>
      </c>
      <c r="H32" s="32"/>
      <c r="I32" s="32"/>
      <c r="J32" s="33"/>
    </row>
    <row r="33" spans="1:10" ht="15.75" customHeight="1" x14ac:dyDescent="0.25">
      <c r="A33" s="13">
        <v>29</v>
      </c>
      <c r="B33" s="14" t="s">
        <v>64</v>
      </c>
      <c r="C33" s="30"/>
      <c r="D33" s="27"/>
      <c r="E33" s="30"/>
      <c r="F33" s="30"/>
      <c r="G33" s="31" t="s">
        <v>65</v>
      </c>
      <c r="H33" s="32"/>
      <c r="I33" s="32"/>
      <c r="J33" s="33"/>
    </row>
    <row r="34" spans="1:10" ht="15.75" customHeight="1" x14ac:dyDescent="0.25">
      <c r="A34" s="12">
        <v>30</v>
      </c>
      <c r="B34" s="12" t="s">
        <v>66</v>
      </c>
      <c r="C34" s="28"/>
      <c r="D34" s="24"/>
      <c r="E34" s="29"/>
      <c r="F34" s="29"/>
      <c r="G34" s="31" t="s">
        <v>67</v>
      </c>
      <c r="H34" s="32"/>
      <c r="I34" s="32"/>
      <c r="J34" s="33"/>
    </row>
    <row r="35" spans="1:10" ht="15.75" customHeight="1" x14ac:dyDescent="0.25">
      <c r="A35" s="13">
        <v>31</v>
      </c>
      <c r="B35" s="14" t="s">
        <v>68</v>
      </c>
      <c r="C35" s="30"/>
      <c r="D35" s="27"/>
      <c r="E35" s="30"/>
      <c r="F35" s="30"/>
      <c r="G35" s="31" t="s">
        <v>69</v>
      </c>
      <c r="H35" s="32"/>
      <c r="I35" s="32"/>
      <c r="J35" s="33"/>
    </row>
    <row r="36" spans="1:10" ht="15.75" customHeight="1" x14ac:dyDescent="0.25">
      <c r="A36" s="12">
        <v>32</v>
      </c>
      <c r="B36" s="12" t="s">
        <v>70</v>
      </c>
      <c r="C36" s="28"/>
      <c r="D36" s="24"/>
      <c r="E36" s="29"/>
      <c r="F36" s="29"/>
      <c r="G36" s="31" t="s">
        <v>71</v>
      </c>
      <c r="H36" s="32"/>
      <c r="I36" s="32"/>
      <c r="J36" s="33"/>
    </row>
    <row r="37" spans="1:10" ht="15.75" customHeight="1" x14ac:dyDescent="0.25">
      <c r="A37" s="13">
        <v>33</v>
      </c>
      <c r="B37" s="14" t="s">
        <v>72</v>
      </c>
      <c r="C37" s="30"/>
      <c r="D37" s="27"/>
      <c r="E37" s="30"/>
      <c r="F37" s="30"/>
      <c r="G37" s="31" t="s">
        <v>78</v>
      </c>
      <c r="H37" s="32"/>
      <c r="I37" s="32"/>
      <c r="J37" s="33"/>
    </row>
    <row r="38" spans="1:10" ht="15.75" customHeight="1" x14ac:dyDescent="0.25">
      <c r="A38" s="12">
        <v>34</v>
      </c>
      <c r="B38" s="12" t="s">
        <v>73</v>
      </c>
      <c r="C38" s="28"/>
      <c r="D38" s="24"/>
      <c r="E38" s="29"/>
      <c r="F38" s="29"/>
      <c r="G38" s="31" t="s">
        <v>67</v>
      </c>
      <c r="H38" s="32"/>
      <c r="I38" s="32"/>
      <c r="J38" s="33"/>
    </row>
    <row r="39" spans="1:10" ht="15.75" customHeight="1" thickBot="1" x14ac:dyDescent="0.3">
      <c r="A39" s="13">
        <v>35</v>
      </c>
      <c r="B39" s="14" t="s">
        <v>74</v>
      </c>
      <c r="C39" s="30"/>
      <c r="D39" s="27"/>
      <c r="E39" s="30"/>
      <c r="F39" s="30"/>
      <c r="G39" s="40" t="s">
        <v>75</v>
      </c>
      <c r="H39" s="41"/>
      <c r="I39" s="41"/>
      <c r="J39" s="42"/>
    </row>
    <row r="40" spans="1:10" ht="15.75" customHeight="1" thickBot="1" x14ac:dyDescent="0.3">
      <c r="A40" s="47" t="s">
        <v>76</v>
      </c>
      <c r="B40" s="38"/>
      <c r="C40" s="16">
        <f>COUNTIF(C4:C39,"X")</f>
        <v>16</v>
      </c>
      <c r="D40" s="16">
        <f t="shared" ref="D40:F40" si="0">COUNTIF(D4:D39,"X")</f>
        <v>0</v>
      </c>
      <c r="E40" s="16">
        <f t="shared" si="0"/>
        <v>0</v>
      </c>
      <c r="F40" s="16">
        <f t="shared" si="0"/>
        <v>0</v>
      </c>
      <c r="G40" s="17">
        <f>SUM(C40:F40)</f>
        <v>16</v>
      </c>
      <c r="H40" s="11"/>
      <c r="I40" s="11"/>
      <c r="J40" s="11"/>
    </row>
    <row r="41" spans="1:10" ht="15.75" customHeight="1" thickBot="1" x14ac:dyDescent="0.3">
      <c r="A41" s="43" t="s">
        <v>77</v>
      </c>
      <c r="B41" s="44"/>
      <c r="C41" s="18">
        <f>C40/$G$40</f>
        <v>1</v>
      </c>
      <c r="D41" s="18">
        <f t="shared" ref="D41:F41" si="1">D40/$G$40</f>
        <v>0</v>
      </c>
      <c r="E41" s="18">
        <f t="shared" si="1"/>
        <v>0</v>
      </c>
      <c r="F41" s="19">
        <f t="shared" si="1"/>
        <v>0</v>
      </c>
      <c r="G41" s="20"/>
      <c r="H41" s="11"/>
      <c r="I41" s="11"/>
      <c r="J41" s="11"/>
    </row>
    <row r="42" spans="1:10" ht="15.75" customHeight="1" x14ac:dyDescent="0.25">
      <c r="A42" s="11"/>
      <c r="B42" s="11"/>
      <c r="C42" s="21"/>
      <c r="D42" s="21"/>
      <c r="E42" s="21"/>
      <c r="F42" s="21"/>
      <c r="G42" s="11"/>
      <c r="H42" s="11"/>
      <c r="I42" s="11"/>
      <c r="J42" s="11"/>
    </row>
    <row r="43" spans="1:10" ht="15.75" customHeight="1" x14ac:dyDescent="0.25">
      <c r="A43" s="37" t="str">
        <f>"Com base na confrontação dos PCE/PCA ( paradigmas constantes dos autos e colhidos ) e PQ ( paradigmas contestados ), o resultado apurado é de " &amp;
IF(C41&gt;=70%,"ALTA CONVERGÊNCIA",
IF(C41&gt;=50.01%,"MÉDIA CONVERGÊNCIA",
"DIVERGÊNCIA"))</f>
        <v>Com base na confrontação dos PCE/PCA ( paradigmas constantes dos autos e colhidos ) e PQ ( paradigmas contestados ), o resultado apurado é de ALTA CONVERGÊNCIA</v>
      </c>
      <c r="B43" s="38"/>
      <c r="C43" s="38"/>
      <c r="D43" s="38"/>
      <c r="E43" s="38"/>
      <c r="F43" s="38"/>
      <c r="G43" s="38"/>
      <c r="H43" s="38"/>
      <c r="I43" s="38"/>
      <c r="J43" s="38"/>
    </row>
    <row r="44" spans="1:10" ht="15.75" customHeight="1" x14ac:dyDescent="0.25">
      <c r="A44" s="39"/>
      <c r="B44" s="39"/>
      <c r="C44" s="39"/>
      <c r="D44" s="39"/>
      <c r="E44" s="39"/>
      <c r="F44" s="39"/>
      <c r="G44" s="39"/>
      <c r="H44" s="39"/>
      <c r="I44" s="39"/>
      <c r="J44" s="39"/>
    </row>
    <row r="45" spans="1:10" ht="15.75" customHeight="1" x14ac:dyDescent="0.25">
      <c r="A45" s="39"/>
      <c r="B45" s="39"/>
      <c r="C45" s="39"/>
      <c r="D45" s="39"/>
      <c r="E45" s="39"/>
      <c r="F45" s="39"/>
      <c r="G45" s="39"/>
      <c r="H45" s="39"/>
      <c r="I45" s="39"/>
      <c r="J45" s="39"/>
    </row>
    <row r="46" spans="1:10" ht="15.75" customHeight="1" x14ac:dyDescent="0.25"/>
    <row r="47" spans="1:10" ht="15.75" customHeight="1" x14ac:dyDescent="0.25"/>
    <row r="48" spans="1:10" ht="15.75" customHeight="1" x14ac:dyDescent="0.25">
      <c r="B48" s="22"/>
    </row>
    <row r="49" s="1" customFormat="1" ht="15.75" customHeight="1" x14ac:dyDescent="0.25"/>
    <row r="50" s="1" customFormat="1" ht="15.75" customHeight="1" x14ac:dyDescent="0.25"/>
    <row r="51" s="1" customFormat="1" ht="15.75" customHeight="1" x14ac:dyDescent="0.25"/>
    <row r="52" s="1" customFormat="1" ht="15.75" customHeight="1" x14ac:dyDescent="0.25"/>
    <row r="53" s="1" customFormat="1" ht="15.75" customHeight="1" x14ac:dyDescent="0.25"/>
    <row r="54" s="1" customFormat="1" ht="15.75" customHeight="1" x14ac:dyDescent="0.25"/>
    <row r="55" s="1" customFormat="1" ht="15.75" customHeight="1" x14ac:dyDescent="0.25"/>
    <row r="56" s="1" customFormat="1" ht="15.75" customHeight="1" x14ac:dyDescent="0.25"/>
    <row r="57" s="1" customFormat="1" ht="15.75" customHeight="1" x14ac:dyDescent="0.25"/>
    <row r="58" s="1" customFormat="1" ht="15.75" customHeight="1" x14ac:dyDescent="0.25"/>
    <row r="59" s="1" customFormat="1" ht="15.75" customHeight="1" x14ac:dyDescent="0.25"/>
    <row r="60" s="1" customFormat="1" ht="15.75" customHeight="1" x14ac:dyDescent="0.25"/>
    <row r="61" s="1" customFormat="1" ht="15.75" customHeight="1" x14ac:dyDescent="0.25"/>
    <row r="62" s="1" customFormat="1" ht="15.75" customHeight="1" x14ac:dyDescent="0.25"/>
    <row r="63" s="1" customFormat="1" ht="15.75" customHeight="1" x14ac:dyDescent="0.25"/>
    <row r="64" s="1" customFormat="1" ht="15.75" customHeight="1" x14ac:dyDescent="0.25"/>
    <row r="65" s="1" customFormat="1" ht="15.75" customHeight="1" x14ac:dyDescent="0.25"/>
    <row r="66" s="1" customFormat="1" ht="15.75" customHeight="1" x14ac:dyDescent="0.25"/>
    <row r="67" s="1" customFormat="1" ht="15.75" customHeight="1" x14ac:dyDescent="0.25"/>
    <row r="68" s="1" customFormat="1" ht="15.75" customHeight="1" x14ac:dyDescent="0.25"/>
    <row r="69" s="1" customFormat="1" ht="15.75" customHeight="1" x14ac:dyDescent="0.25"/>
    <row r="70" s="1" customFormat="1" ht="15.75" customHeight="1" x14ac:dyDescent="0.25"/>
    <row r="71" s="1" customFormat="1" ht="15.75" customHeight="1" x14ac:dyDescent="0.25"/>
    <row r="72" s="1" customFormat="1" ht="15.75" customHeight="1" x14ac:dyDescent="0.25"/>
    <row r="73" s="1" customFormat="1" ht="15.75" customHeight="1" x14ac:dyDescent="0.25"/>
    <row r="74" s="1" customFormat="1" ht="15.75" customHeight="1" x14ac:dyDescent="0.25"/>
    <row r="75" s="1" customFormat="1" ht="15.75" customHeight="1" x14ac:dyDescent="0.25"/>
    <row r="76" s="1" customFormat="1" ht="15.75" customHeight="1" x14ac:dyDescent="0.25"/>
    <row r="77" s="1" customFormat="1" ht="15.75" customHeight="1" x14ac:dyDescent="0.25"/>
    <row r="78" s="1" customFormat="1" ht="15.75" customHeight="1" x14ac:dyDescent="0.25"/>
    <row r="79" s="1" customFormat="1" ht="15.75" customHeight="1" x14ac:dyDescent="0.25"/>
    <row r="80" s="1" customFormat="1" ht="15.75" customHeight="1" x14ac:dyDescent="0.25"/>
    <row r="81" s="1" customFormat="1" ht="15.75" customHeight="1" x14ac:dyDescent="0.25"/>
    <row r="82" s="1" customFormat="1" ht="15.75" customHeight="1" x14ac:dyDescent="0.25"/>
    <row r="83" s="1" customFormat="1" ht="15.75" customHeight="1" x14ac:dyDescent="0.25"/>
    <row r="84" s="1" customFormat="1" ht="15.75" customHeight="1" x14ac:dyDescent="0.25"/>
    <row r="85" s="1" customFormat="1" ht="15.75" customHeight="1" x14ac:dyDescent="0.25"/>
    <row r="86" s="1" customFormat="1" ht="15.75" customHeight="1" x14ac:dyDescent="0.25"/>
    <row r="87" s="1" customFormat="1" ht="15.75" customHeight="1" x14ac:dyDescent="0.25"/>
    <row r="88" s="1" customFormat="1" ht="15.75" customHeight="1" x14ac:dyDescent="0.25"/>
    <row r="89" s="1" customFormat="1" ht="15.75" customHeight="1" x14ac:dyDescent="0.25"/>
    <row r="90" s="1" customFormat="1" ht="15.75" customHeight="1" x14ac:dyDescent="0.25"/>
    <row r="91" s="1" customFormat="1" ht="15.75" customHeight="1" x14ac:dyDescent="0.25"/>
    <row r="92" s="1" customFormat="1" ht="15.75" customHeight="1" x14ac:dyDescent="0.25"/>
    <row r="93" s="1" customFormat="1" ht="15.75" customHeight="1" x14ac:dyDescent="0.25"/>
    <row r="94" s="1" customFormat="1" ht="15.75" customHeight="1" x14ac:dyDescent="0.25"/>
    <row r="95" s="1" customFormat="1" ht="15.75" customHeight="1" x14ac:dyDescent="0.25"/>
    <row r="96" s="1" customFormat="1" ht="15.75" customHeight="1" x14ac:dyDescent="0.25"/>
    <row r="97" s="1" customFormat="1" ht="15.75" customHeight="1" x14ac:dyDescent="0.25"/>
    <row r="98" s="1" customFormat="1" ht="15.75" customHeight="1" x14ac:dyDescent="0.25"/>
    <row r="99" s="1" customFormat="1" ht="15.75" customHeight="1" x14ac:dyDescent="0.25"/>
    <row r="100" s="1" customFormat="1" ht="15.75" customHeight="1" x14ac:dyDescent="0.25"/>
    <row r="101" s="1" customFormat="1" ht="15.75" customHeight="1" x14ac:dyDescent="0.25"/>
  </sheetData>
  <sheetProtection algorithmName="SHA-512" hashValue="s0XIqQrx1mARBOHEbIf1HfdrlTm+UO+DH+pMi8rw98MIyT320uSFTGkGUirHo+pD8K6Pga1FS+HC/VV3fAiQ4w==" saltValue="hXJQgNMdoRohAV/zE9DTqQ==" spinCount="100000" sheet="1" objects="1" scenarios="1"/>
  <mergeCells count="42">
    <mergeCell ref="A1:F1"/>
    <mergeCell ref="G2:J2"/>
    <mergeCell ref="G25:J25"/>
    <mergeCell ref="G24:J24"/>
    <mergeCell ref="G23:J23"/>
    <mergeCell ref="G18:J18"/>
    <mergeCell ref="G17:J17"/>
    <mergeCell ref="G16:J16"/>
    <mergeCell ref="A3:J3"/>
    <mergeCell ref="G6:J6"/>
    <mergeCell ref="G7:J7"/>
    <mergeCell ref="G8:J8"/>
    <mergeCell ref="G5:J5"/>
    <mergeCell ref="G4:J4"/>
    <mergeCell ref="G14:J14"/>
    <mergeCell ref="G12:J12"/>
    <mergeCell ref="A2:B2"/>
    <mergeCell ref="G11:J11"/>
    <mergeCell ref="G34:J34"/>
    <mergeCell ref="G35:J35"/>
    <mergeCell ref="A40:B40"/>
    <mergeCell ref="G31:J31"/>
    <mergeCell ref="G30:J30"/>
    <mergeCell ref="G29:J29"/>
    <mergeCell ref="G37:J37"/>
    <mergeCell ref="G32:J32"/>
    <mergeCell ref="G33:J33"/>
    <mergeCell ref="G36:J36"/>
    <mergeCell ref="G20:J20"/>
    <mergeCell ref="G27:J27"/>
    <mergeCell ref="G19:J19"/>
    <mergeCell ref="G22:J22"/>
    <mergeCell ref="G13:J13"/>
    <mergeCell ref="G10:J10"/>
    <mergeCell ref="A9:J9"/>
    <mergeCell ref="A43:J45"/>
    <mergeCell ref="G38:J38"/>
    <mergeCell ref="G39:J39"/>
    <mergeCell ref="A41:B41"/>
    <mergeCell ref="G21:J21"/>
    <mergeCell ref="G28:J28"/>
    <mergeCell ref="G26:J26"/>
  </mergeCells>
  <conditionalFormatting sqref="C4:C8 C10:C39">
    <cfRule type="cellIs" dxfId="2" priority="3" operator="equal">
      <formula>"x"</formula>
    </cfRule>
  </conditionalFormatting>
  <conditionalFormatting sqref="D4:D8 D10:D39">
    <cfRule type="cellIs" dxfId="1" priority="2" operator="equal">
      <formula>"x"</formula>
    </cfRule>
  </conditionalFormatting>
  <conditionalFormatting sqref="E4:F8 E10:F39">
    <cfRule type="cellIs" dxfId="0" priority="1" operator="equal">
      <formula>"x"</formula>
    </cfRule>
  </conditionalFormatting>
  <dataValidations count="1">
    <dataValidation type="custom" allowBlank="1" showDropDown="1" showInputMessage="1" showErrorMessage="1" errorTitle="Valor inválido" error="Só é permitido inserir X (uma vez por linha) ou deixar em branco." promptTitle="Entrada Permitida" prompt="Digite apenas X (máximo 1 por linha) ou deixe em branco." sqref="C4:F8 C10:F39" xr:uid="{E9F71A7B-17AA-4975-97CB-DB06B9FB38B9}">
      <formula1>OR(C4="",AND(C4="X",COUNTIF($C4:$F4,"X")=1))</formula1>
    </dataValidation>
  </dataValidations>
  <pageMargins left="0.511811024" right="0.511811024" top="0.78740157499999996" bottom="0.78740157499999996" header="0" footer="0"/>
  <pageSetup paperSize="9" orientation="portrait" r:id="rId1"/>
  <headerFooter>
    <oddFooter>&amp;C_x000D_&amp;1#&amp;"Arial Black"&amp;11&amp;K737373 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rPlanilha">
                <anchor moveWithCells="1" sizeWithCells="1">
                  <from>
                    <xdr:col>10</xdr:col>
                    <xdr:colOff>257175</xdr:colOff>
                    <xdr:row>0</xdr:row>
                    <xdr:rowOff>123825</xdr:rowOff>
                  </from>
                  <to>
                    <xdr:col>11</xdr:col>
                    <xdr:colOff>819150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piarTabela">
                <anchor moveWithCells="1" sizeWithCells="1">
                  <from>
                    <xdr:col>10</xdr:col>
                    <xdr:colOff>266700</xdr:colOff>
                    <xdr:row>1</xdr:row>
                    <xdr:rowOff>190500</xdr:rowOff>
                  </from>
                  <to>
                    <xdr:col>11</xdr:col>
                    <xdr:colOff>828675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rarGraficoPizza">
                <anchor moveWithCells="1" sizeWithCells="1">
                  <from>
                    <xdr:col>10</xdr:col>
                    <xdr:colOff>266700</xdr:colOff>
                    <xdr:row>4</xdr:row>
                    <xdr:rowOff>47625</xdr:rowOff>
                  </from>
                  <to>
                    <xdr:col>11</xdr:col>
                    <xdr:colOff>828675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imparPlanilhasExtras">
                <anchor moveWithCells="1" sizeWithCells="1">
                  <from>
                    <xdr:col>10</xdr:col>
                    <xdr:colOff>266700</xdr:colOff>
                    <xdr:row>6</xdr:row>
                    <xdr:rowOff>104775</xdr:rowOff>
                  </from>
                  <to>
                    <xdr:col>11</xdr:col>
                    <xdr:colOff>828675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iarTabelaComoImagem">
                <anchor moveWithCells="1" sizeWithCells="1">
                  <from>
                    <xdr:col>12</xdr:col>
                    <xdr:colOff>47625</xdr:colOff>
                    <xdr:row>1</xdr:row>
                    <xdr:rowOff>190500</xdr:rowOff>
                  </from>
                  <to>
                    <xdr:col>13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carvalho</dc:creator>
  <cp:lastModifiedBy>Carlos Menezes</cp:lastModifiedBy>
  <cp:lastPrinted>2025-11-14T11:29:51Z</cp:lastPrinted>
  <dcterms:created xsi:type="dcterms:W3CDTF">2022-09-06T12:42:18Z</dcterms:created>
  <dcterms:modified xsi:type="dcterms:W3CDTF">2025-11-15T20:31:17Z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006dd2-fbe3-4519-88e6-262e73109866_Enabled">
    <vt:lpwstr>true</vt:lpwstr>
  </property>
  <property fmtid="{D5CDD505-2E9C-101B-9397-08002B2CF9AE}" pid="3" name="MSIP_Label_86006dd2-fbe3-4519-88e6-262e73109866_SetDate">
    <vt:lpwstr>2025-11-14T11:24:39Z</vt:lpwstr>
  </property>
  <property fmtid="{D5CDD505-2E9C-101B-9397-08002B2CF9AE}" pid="4" name="MSIP_Label_86006dd2-fbe3-4519-88e6-262e73109866_Method">
    <vt:lpwstr>Privileged</vt:lpwstr>
  </property>
  <property fmtid="{D5CDD505-2E9C-101B-9397-08002B2CF9AE}" pid="5" name="MSIP_Label_86006dd2-fbe3-4519-88e6-262e73109866_Name">
    <vt:lpwstr>Pública</vt:lpwstr>
  </property>
  <property fmtid="{D5CDD505-2E9C-101B-9397-08002B2CF9AE}" pid="6" name="MSIP_Label_86006dd2-fbe3-4519-88e6-262e73109866_SiteId">
    <vt:lpwstr>46f6a780-86e1-4570-9459-bb97b7d99f9d</vt:lpwstr>
  </property>
  <property fmtid="{D5CDD505-2E9C-101B-9397-08002B2CF9AE}" pid="7" name="MSIP_Label_86006dd2-fbe3-4519-88e6-262e73109866_ActionId">
    <vt:lpwstr>75bb7bbc-9862-43e8-8a19-ad815bfe1910</vt:lpwstr>
  </property>
  <property fmtid="{D5CDD505-2E9C-101B-9397-08002B2CF9AE}" pid="8" name="MSIP_Label_86006dd2-fbe3-4519-88e6-262e73109866_ContentBits">
    <vt:lpwstr>2</vt:lpwstr>
  </property>
  <property fmtid="{D5CDD505-2E9C-101B-9397-08002B2CF9AE}" pid="9" name="MSIP_Label_86006dd2-fbe3-4519-88e6-262e73109866_Tag">
    <vt:lpwstr>10, 0, 1, 1</vt:lpwstr>
  </property>
</Properties>
</file>